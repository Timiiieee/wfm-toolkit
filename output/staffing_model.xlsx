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2" borderId="1" pivotButton="0" quotePrefix="0" xfId="0"/>
    <xf numFmtId="1" fontId="0" fillId="4" borderId="1" pivotButton="0" quotePrefix="0" xfId="0"/>
    <xf numFmtId="164" fontId="0" fillId="4" borderId="1" pivotButton="0" quotePrefix="0" xfId="0"/>
    <xf numFmtId="9" fontId="0" fillId="4" borderId="1" pivotButton="0" quotePrefix="0" xfId="0"/>
    <xf numFmtId="9" fontId="0" fillId="2" borderId="1" pivotButton="0" quotePrefix="0" xfId="0"/>
    <xf numFmtId="167" fontId="0" fillId="4" borderId="1" pivotButton="0" quotePrefix="0" xfId="0"/>
    <xf numFmtId="2" fontId="0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Service level vs agents</a:t>
            </a:r>
          </a:p>
        </rich>
      </tx>
    </title>
    <plotArea>
      <lineChart>
        <grouping val="standard"/>
        <ser>
          <idx val="0"/>
          <order val="0"/>
          <tx>
            <strRef>
              <f>'Staffing Model'!E16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'Staffing Model'!$A$17:$A$117</f>
            </numRef>
          </cat>
          <val>
            <numRef>
              <f>'Staffing Model'!$E$17:$E$117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Agents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Service level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Occupancy vs agents</a:t>
            </a:r>
          </a:p>
        </rich>
      </tx>
    </title>
    <plotArea>
      <lineChart>
        <grouping val="standard"/>
        <ser>
          <idx val="0"/>
          <order val="0"/>
          <tx>
            <strRef>
              <f>'Staffing Model'!C16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'Staffing Model'!$A$17:$A$117</f>
            </numRef>
          </cat>
          <val>
            <numRef>
              <f>'Staffing Model'!$C$17:$C$117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Agents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Occupancy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2" customWidth="1" min="4" max="4"/>
    <col width="16" customWidth="1" min="5" max="5"/>
    <col width="11" customWidth="1" min="6" max="6"/>
  </cols>
  <sheetData>
    <row r="1">
      <c r="A1" s="1" t="inlineStr">
        <is>
          <t>Erlang-C Call Center Staffing Model</t>
        </is>
      </c>
    </row>
    <row r="2">
      <c r="A2" s="2" t="inlineStr">
        <is>
          <t>Edit the yellow input cells. Everything else updates automatically.</t>
        </is>
      </c>
    </row>
    <row r="4">
      <c r="A4" s="3" t="inlineStr">
        <is>
          <t>INPUTS</t>
        </is>
      </c>
      <c r="D4" s="3" t="inlineStr">
        <is>
          <t>RESULT</t>
        </is>
      </c>
    </row>
    <row r="5">
      <c r="A5" t="inlineStr">
        <is>
          <t>Calls per interval</t>
        </is>
      </c>
      <c r="B5" s="4" t="n">
        <v>240</v>
      </c>
      <c r="D5" t="inlineStr">
        <is>
          <t>Recommended agents</t>
        </is>
      </c>
      <c r="E5" s="5">
        <f>IF(MINIFS(A18:A117,E18:E117,"&gt;="&amp;B8)=0,"raise agent cap / lower target",MINIFS(A18:A117,E18:E117,"&gt;="&amp;B8))</f>
        <v/>
      </c>
    </row>
    <row r="6">
      <c r="A6" t="inlineStr">
        <is>
          <t>Average handle time (sec)</t>
        </is>
      </c>
      <c r="B6" s="4" t="n">
        <v>240</v>
      </c>
      <c r="D6" t="inlineStr">
        <is>
          <t>Service level achieved</t>
        </is>
      </c>
      <c r="E6" s="6">
        <f>IFERROR(INDEX(E18:E117,MATCH(E5,A18:A117,0)),"n/a")</f>
        <v/>
      </c>
    </row>
    <row r="7">
      <c r="A7" t="inlineStr">
        <is>
          <t>Interval length (min)</t>
        </is>
      </c>
      <c r="B7" s="4" t="n">
        <v>30</v>
      </c>
      <c r="D7" t="inlineStr">
        <is>
          <t>Occupancy at that staffing</t>
        </is>
      </c>
      <c r="E7" s="7">
        <f>IFERROR(INDEX(C18:C117,MATCH(E5,A18:A117,0)),"n/a")</f>
        <v/>
      </c>
    </row>
    <row r="8">
      <c r="A8" t="inlineStr">
        <is>
          <t>Target service level</t>
        </is>
      </c>
      <c r="B8" s="8" t="n">
        <v>0.8</v>
      </c>
      <c r="D8" t="inlineStr">
        <is>
          <t>ASA at that staffing (sec)</t>
        </is>
      </c>
      <c r="E8" s="9">
        <f>IFERROR(INDEX(F18:F117,MATCH(E5,A18:A117,0)),"n/a")</f>
        <v/>
      </c>
    </row>
    <row r="9">
      <c r="A9" t="inlineStr">
        <is>
          <t>Answer within (sec)</t>
        </is>
      </c>
      <c r="B9" s="4" t="n">
        <v>20</v>
      </c>
    </row>
    <row r="11">
      <c r="A11" s="3" t="inlineStr">
        <is>
          <t>DERIVED</t>
        </is>
      </c>
    </row>
    <row r="12">
      <c r="A12" t="inlineStr">
        <is>
          <t>Interval length (sec)</t>
        </is>
      </c>
      <c r="B12">
        <f>B7*60</f>
        <v/>
      </c>
    </row>
    <row r="13">
      <c r="A13" t="inlineStr">
        <is>
          <t>Offered load (Erlangs)</t>
        </is>
      </c>
      <c r="B13" s="10">
        <f>B5*B6/B12</f>
        <v/>
      </c>
    </row>
    <row r="16">
      <c r="A16" s="11" t="inlineStr">
        <is>
          <t>Agents (n)</t>
        </is>
      </c>
      <c r="B16" s="11" t="inlineStr">
        <is>
          <t>Erlang-B</t>
        </is>
      </c>
      <c r="C16" s="11" t="inlineStr">
        <is>
          <t>Occupancy</t>
        </is>
      </c>
      <c r="D16" s="11" t="inlineStr">
        <is>
          <t>Erlang-C P(wait)</t>
        </is>
      </c>
      <c r="E16" s="11" t="inlineStr">
        <is>
          <t>Service level</t>
        </is>
      </c>
      <c r="F16" s="11" t="inlineStr">
        <is>
          <t>ASA (sec)</t>
        </is>
      </c>
    </row>
    <row r="17">
      <c r="A17" t="n">
        <v>0</v>
      </c>
      <c r="B17" t="n">
        <v>1</v>
      </c>
    </row>
    <row r="18">
      <c r="A18" s="12" t="n">
        <v>1</v>
      </c>
      <c r="B18" s="13">
        <f>(B13*B17)/(A18+B13*B17)</f>
        <v/>
      </c>
      <c r="C18" s="14">
        <f>B13/A18</f>
        <v/>
      </c>
      <c r="D18" s="15">
        <f>IF(C18&gt;=1,1,B18/(1-C18*(1-B18)))</f>
        <v/>
      </c>
      <c r="E18" s="16">
        <f>IF(B13=0,1,IF(C18&gt;=1,0,MAX(0,MIN(1,1-D18*EXP(-(A18-B13)*(B9/B6))))))</f>
        <v/>
      </c>
      <c r="F18" s="17">
        <f>IF(C18&gt;=1,"n/a",D18*B6/(A18-B13))</f>
        <v/>
      </c>
    </row>
    <row r="19">
      <c r="A19" s="12" t="n">
        <v>2</v>
      </c>
      <c r="B19" s="13">
        <f>(B13*B18)/(A19+B13*B18)</f>
        <v/>
      </c>
      <c r="C19" s="14">
        <f>B13/A19</f>
        <v/>
      </c>
      <c r="D19" s="15">
        <f>IF(C19&gt;=1,1,B19/(1-C19*(1-B19)))</f>
        <v/>
      </c>
      <c r="E19" s="16">
        <f>IF(B13=0,1,IF(C19&gt;=1,0,MAX(0,MIN(1,1-D19*EXP(-(A19-B13)*(B9/B6))))))</f>
        <v/>
      </c>
      <c r="F19" s="17">
        <f>IF(C19&gt;=1,"n/a",D19*B6/(A19-B13))</f>
        <v/>
      </c>
    </row>
    <row r="20">
      <c r="A20" s="12" t="n">
        <v>3</v>
      </c>
      <c r="B20" s="13">
        <f>(B13*B19)/(A20+B13*B19)</f>
        <v/>
      </c>
      <c r="C20" s="14">
        <f>B13/A20</f>
        <v/>
      </c>
      <c r="D20" s="15">
        <f>IF(C20&gt;=1,1,B20/(1-C20*(1-B20)))</f>
        <v/>
      </c>
      <c r="E20" s="16">
        <f>IF(B13=0,1,IF(C20&gt;=1,0,MAX(0,MIN(1,1-D20*EXP(-(A20-B13)*(B9/B6))))))</f>
        <v/>
      </c>
      <c r="F20" s="17">
        <f>IF(C20&gt;=1,"n/a",D20*B6/(A20-B13))</f>
        <v/>
      </c>
    </row>
    <row r="21">
      <c r="A21" s="12" t="n">
        <v>4</v>
      </c>
      <c r="B21" s="13">
        <f>(B13*B20)/(A21+B13*B20)</f>
        <v/>
      </c>
      <c r="C21" s="14">
        <f>B13/A21</f>
        <v/>
      </c>
      <c r="D21" s="15">
        <f>IF(C21&gt;=1,1,B21/(1-C21*(1-B21)))</f>
        <v/>
      </c>
      <c r="E21" s="16">
        <f>IF(B13=0,1,IF(C21&gt;=1,0,MAX(0,MIN(1,1-D21*EXP(-(A21-B13)*(B9/B6))))))</f>
        <v/>
      </c>
      <c r="F21" s="17">
        <f>IF(C21&gt;=1,"n/a",D21*B6/(A21-B13))</f>
        <v/>
      </c>
    </row>
    <row r="22">
      <c r="A22" s="12" t="n">
        <v>5</v>
      </c>
      <c r="B22" s="13">
        <f>(B13*B21)/(A22+B13*B21)</f>
        <v/>
      </c>
      <c r="C22" s="14">
        <f>B13/A22</f>
        <v/>
      </c>
      <c r="D22" s="15">
        <f>IF(C22&gt;=1,1,B22/(1-C22*(1-B22)))</f>
        <v/>
      </c>
      <c r="E22" s="16">
        <f>IF(B13=0,1,IF(C22&gt;=1,0,MAX(0,MIN(1,1-D22*EXP(-(A22-B13)*(B9/B6))))))</f>
        <v/>
      </c>
      <c r="F22" s="17">
        <f>IF(C22&gt;=1,"n/a",D22*B6/(A22-B13))</f>
        <v/>
      </c>
    </row>
    <row r="23">
      <c r="A23" s="12" t="n">
        <v>6</v>
      </c>
      <c r="B23" s="13">
        <f>(B13*B22)/(A23+B13*B22)</f>
        <v/>
      </c>
      <c r="C23" s="14">
        <f>B13/A23</f>
        <v/>
      </c>
      <c r="D23" s="15">
        <f>IF(C23&gt;=1,1,B23/(1-C23*(1-B23)))</f>
        <v/>
      </c>
      <c r="E23" s="16">
        <f>IF(B13=0,1,IF(C23&gt;=1,0,MAX(0,MIN(1,1-D23*EXP(-(A23-B13)*(B9/B6))))))</f>
        <v/>
      </c>
      <c r="F23" s="17">
        <f>IF(C23&gt;=1,"n/a",D23*B6/(A23-B13))</f>
        <v/>
      </c>
    </row>
    <row r="24">
      <c r="A24" s="12" t="n">
        <v>7</v>
      </c>
      <c r="B24" s="13">
        <f>(B13*B23)/(A24+B13*B23)</f>
        <v/>
      </c>
      <c r="C24" s="14">
        <f>B13/A24</f>
        <v/>
      </c>
      <c r="D24" s="15">
        <f>IF(C24&gt;=1,1,B24/(1-C24*(1-B24)))</f>
        <v/>
      </c>
      <c r="E24" s="16">
        <f>IF(B13=0,1,IF(C24&gt;=1,0,MAX(0,MIN(1,1-D24*EXP(-(A24-B13)*(B9/B6))))))</f>
        <v/>
      </c>
      <c r="F24" s="17">
        <f>IF(C24&gt;=1,"n/a",D24*B6/(A24-B13))</f>
        <v/>
      </c>
    </row>
    <row r="25">
      <c r="A25" s="12" t="n">
        <v>8</v>
      </c>
      <c r="B25" s="13">
        <f>(B13*B24)/(A25+B13*B24)</f>
        <v/>
      </c>
      <c r="C25" s="14">
        <f>B13/A25</f>
        <v/>
      </c>
      <c r="D25" s="15">
        <f>IF(C25&gt;=1,1,B25/(1-C25*(1-B25)))</f>
        <v/>
      </c>
      <c r="E25" s="16">
        <f>IF(B13=0,1,IF(C25&gt;=1,0,MAX(0,MIN(1,1-D25*EXP(-(A25-B13)*(B9/B6))))))</f>
        <v/>
      </c>
      <c r="F25" s="17">
        <f>IF(C25&gt;=1,"n/a",D25*B6/(A25-B13))</f>
        <v/>
      </c>
    </row>
    <row r="26">
      <c r="A26" s="12" t="n">
        <v>9</v>
      </c>
      <c r="B26" s="13">
        <f>(B13*B25)/(A26+B13*B25)</f>
        <v/>
      </c>
      <c r="C26" s="14">
        <f>B13/A26</f>
        <v/>
      </c>
      <c r="D26" s="15">
        <f>IF(C26&gt;=1,1,B26/(1-C26*(1-B26)))</f>
        <v/>
      </c>
      <c r="E26" s="16">
        <f>IF(B13=0,1,IF(C26&gt;=1,0,MAX(0,MIN(1,1-D26*EXP(-(A26-B13)*(B9/B6))))))</f>
        <v/>
      </c>
      <c r="F26" s="17">
        <f>IF(C26&gt;=1,"n/a",D26*B6/(A26-B13))</f>
        <v/>
      </c>
    </row>
    <row r="27">
      <c r="A27" s="12" t="n">
        <v>10</v>
      </c>
      <c r="B27" s="13">
        <f>(B13*B26)/(A27+B13*B26)</f>
        <v/>
      </c>
      <c r="C27" s="14">
        <f>B13/A27</f>
        <v/>
      </c>
      <c r="D27" s="15">
        <f>IF(C27&gt;=1,1,B27/(1-C27*(1-B27)))</f>
        <v/>
      </c>
      <c r="E27" s="16">
        <f>IF(B13=0,1,IF(C27&gt;=1,0,MAX(0,MIN(1,1-D27*EXP(-(A27-B13)*(B9/B6))))))</f>
        <v/>
      </c>
      <c r="F27" s="17">
        <f>IF(C27&gt;=1,"n/a",D27*B6/(A27-B13))</f>
        <v/>
      </c>
    </row>
    <row r="28">
      <c r="A28" s="12" t="n">
        <v>11</v>
      </c>
      <c r="B28" s="13">
        <f>(B13*B27)/(A28+B13*B27)</f>
        <v/>
      </c>
      <c r="C28" s="14">
        <f>B13/A28</f>
        <v/>
      </c>
      <c r="D28" s="15">
        <f>IF(C28&gt;=1,1,B28/(1-C28*(1-B28)))</f>
        <v/>
      </c>
      <c r="E28" s="16">
        <f>IF(B13=0,1,IF(C28&gt;=1,0,MAX(0,MIN(1,1-D28*EXP(-(A28-B13)*(B9/B6))))))</f>
        <v/>
      </c>
      <c r="F28" s="17">
        <f>IF(C28&gt;=1,"n/a",D28*B6/(A28-B13))</f>
        <v/>
      </c>
    </row>
    <row r="29">
      <c r="A29" s="12" t="n">
        <v>12</v>
      </c>
      <c r="B29" s="13">
        <f>(B13*B28)/(A29+B13*B28)</f>
        <v/>
      </c>
      <c r="C29" s="14">
        <f>B13/A29</f>
        <v/>
      </c>
      <c r="D29" s="15">
        <f>IF(C29&gt;=1,1,B29/(1-C29*(1-B29)))</f>
        <v/>
      </c>
      <c r="E29" s="16">
        <f>IF(B13=0,1,IF(C29&gt;=1,0,MAX(0,MIN(1,1-D29*EXP(-(A29-B13)*(B9/B6))))))</f>
        <v/>
      </c>
      <c r="F29" s="17">
        <f>IF(C29&gt;=1,"n/a",D29*B6/(A29-B13))</f>
        <v/>
      </c>
    </row>
    <row r="30">
      <c r="A30" s="12" t="n">
        <v>13</v>
      </c>
      <c r="B30" s="13">
        <f>(B13*B29)/(A30+B13*B29)</f>
        <v/>
      </c>
      <c r="C30" s="14">
        <f>B13/A30</f>
        <v/>
      </c>
      <c r="D30" s="15">
        <f>IF(C30&gt;=1,1,B30/(1-C30*(1-B30)))</f>
        <v/>
      </c>
      <c r="E30" s="16">
        <f>IF(B13=0,1,IF(C30&gt;=1,0,MAX(0,MIN(1,1-D30*EXP(-(A30-B13)*(B9/B6))))))</f>
        <v/>
      </c>
      <c r="F30" s="17">
        <f>IF(C30&gt;=1,"n/a",D30*B6/(A30-B13))</f>
        <v/>
      </c>
    </row>
    <row r="31">
      <c r="A31" s="12" t="n">
        <v>14</v>
      </c>
      <c r="B31" s="13">
        <f>(B13*B30)/(A31+B13*B30)</f>
        <v/>
      </c>
      <c r="C31" s="14">
        <f>B13/A31</f>
        <v/>
      </c>
      <c r="D31" s="15">
        <f>IF(C31&gt;=1,1,B31/(1-C31*(1-B31)))</f>
        <v/>
      </c>
      <c r="E31" s="16">
        <f>IF(B13=0,1,IF(C31&gt;=1,0,MAX(0,MIN(1,1-D31*EXP(-(A31-B13)*(B9/B6))))))</f>
        <v/>
      </c>
      <c r="F31" s="17">
        <f>IF(C31&gt;=1,"n/a",D31*B6/(A31-B13))</f>
        <v/>
      </c>
    </row>
    <row r="32">
      <c r="A32" s="12" t="n">
        <v>15</v>
      </c>
      <c r="B32" s="13">
        <f>(B13*B31)/(A32+B13*B31)</f>
        <v/>
      </c>
      <c r="C32" s="14">
        <f>B13/A32</f>
        <v/>
      </c>
      <c r="D32" s="15">
        <f>IF(C32&gt;=1,1,B32/(1-C32*(1-B32)))</f>
        <v/>
      </c>
      <c r="E32" s="16">
        <f>IF(B13=0,1,IF(C32&gt;=1,0,MAX(0,MIN(1,1-D32*EXP(-(A32-B13)*(B9/B6))))))</f>
        <v/>
      </c>
      <c r="F32" s="17">
        <f>IF(C32&gt;=1,"n/a",D32*B6/(A32-B13))</f>
        <v/>
      </c>
    </row>
    <row r="33">
      <c r="A33" s="12" t="n">
        <v>16</v>
      </c>
      <c r="B33" s="13">
        <f>(B13*B32)/(A33+B13*B32)</f>
        <v/>
      </c>
      <c r="C33" s="14">
        <f>B13/A33</f>
        <v/>
      </c>
      <c r="D33" s="15">
        <f>IF(C33&gt;=1,1,B33/(1-C33*(1-B33)))</f>
        <v/>
      </c>
      <c r="E33" s="16">
        <f>IF(B13=0,1,IF(C33&gt;=1,0,MAX(0,MIN(1,1-D33*EXP(-(A33-B13)*(B9/B6))))))</f>
        <v/>
      </c>
      <c r="F33" s="17">
        <f>IF(C33&gt;=1,"n/a",D33*B6/(A33-B13))</f>
        <v/>
      </c>
    </row>
    <row r="34">
      <c r="A34" s="12" t="n">
        <v>17</v>
      </c>
      <c r="B34" s="13">
        <f>(B13*B33)/(A34+B13*B33)</f>
        <v/>
      </c>
      <c r="C34" s="14">
        <f>B13/A34</f>
        <v/>
      </c>
      <c r="D34" s="15">
        <f>IF(C34&gt;=1,1,B34/(1-C34*(1-B34)))</f>
        <v/>
      </c>
      <c r="E34" s="16">
        <f>IF(B13=0,1,IF(C34&gt;=1,0,MAX(0,MIN(1,1-D34*EXP(-(A34-B13)*(B9/B6))))))</f>
        <v/>
      </c>
      <c r="F34" s="17">
        <f>IF(C34&gt;=1,"n/a",D34*B6/(A34-B13))</f>
        <v/>
      </c>
    </row>
    <row r="35">
      <c r="A35" s="12" t="n">
        <v>18</v>
      </c>
      <c r="B35" s="13">
        <f>(B13*B34)/(A35+B13*B34)</f>
        <v/>
      </c>
      <c r="C35" s="14">
        <f>B13/A35</f>
        <v/>
      </c>
      <c r="D35" s="15">
        <f>IF(C35&gt;=1,1,B35/(1-C35*(1-B35)))</f>
        <v/>
      </c>
      <c r="E35" s="16">
        <f>IF(B13=0,1,IF(C35&gt;=1,0,MAX(0,MIN(1,1-D35*EXP(-(A35-B13)*(B9/B6))))))</f>
        <v/>
      </c>
      <c r="F35" s="17">
        <f>IF(C35&gt;=1,"n/a",D35*B6/(A35-B13))</f>
        <v/>
      </c>
    </row>
    <row r="36">
      <c r="A36" s="12" t="n">
        <v>19</v>
      </c>
      <c r="B36" s="13">
        <f>(B13*B35)/(A36+B13*B35)</f>
        <v/>
      </c>
      <c r="C36" s="14">
        <f>B13/A36</f>
        <v/>
      </c>
      <c r="D36" s="15">
        <f>IF(C36&gt;=1,1,B36/(1-C36*(1-B36)))</f>
        <v/>
      </c>
      <c r="E36" s="16">
        <f>IF(B13=0,1,IF(C36&gt;=1,0,MAX(0,MIN(1,1-D36*EXP(-(A36-B13)*(B9/B6))))))</f>
        <v/>
      </c>
      <c r="F36" s="17">
        <f>IF(C36&gt;=1,"n/a",D36*B6/(A36-B13))</f>
        <v/>
      </c>
    </row>
    <row r="37">
      <c r="A37" s="12" t="n">
        <v>20</v>
      </c>
      <c r="B37" s="13">
        <f>(B13*B36)/(A37+B13*B36)</f>
        <v/>
      </c>
      <c r="C37" s="14">
        <f>B13/A37</f>
        <v/>
      </c>
      <c r="D37" s="15">
        <f>IF(C37&gt;=1,1,B37/(1-C37*(1-B37)))</f>
        <v/>
      </c>
      <c r="E37" s="16">
        <f>IF(B13=0,1,IF(C37&gt;=1,0,MAX(0,MIN(1,1-D37*EXP(-(A37-B13)*(B9/B6))))))</f>
        <v/>
      </c>
      <c r="F37" s="17">
        <f>IF(C37&gt;=1,"n/a",D37*B6/(A37-B13))</f>
        <v/>
      </c>
    </row>
    <row r="38">
      <c r="A38" s="12" t="n">
        <v>21</v>
      </c>
      <c r="B38" s="13">
        <f>(B13*B37)/(A38+B13*B37)</f>
        <v/>
      </c>
      <c r="C38" s="14">
        <f>B13/A38</f>
        <v/>
      </c>
      <c r="D38" s="15">
        <f>IF(C38&gt;=1,1,B38/(1-C38*(1-B38)))</f>
        <v/>
      </c>
      <c r="E38" s="16">
        <f>IF(B13=0,1,IF(C38&gt;=1,0,MAX(0,MIN(1,1-D38*EXP(-(A38-B13)*(B9/B6))))))</f>
        <v/>
      </c>
      <c r="F38" s="17">
        <f>IF(C38&gt;=1,"n/a",D38*B6/(A38-B13))</f>
        <v/>
      </c>
    </row>
    <row r="39">
      <c r="A39" s="12" t="n">
        <v>22</v>
      </c>
      <c r="B39" s="13">
        <f>(B13*B38)/(A39+B13*B38)</f>
        <v/>
      </c>
      <c r="C39" s="14">
        <f>B13/A39</f>
        <v/>
      </c>
      <c r="D39" s="15">
        <f>IF(C39&gt;=1,1,B39/(1-C39*(1-B39)))</f>
        <v/>
      </c>
      <c r="E39" s="16">
        <f>IF(B13=0,1,IF(C39&gt;=1,0,MAX(0,MIN(1,1-D39*EXP(-(A39-B13)*(B9/B6))))))</f>
        <v/>
      </c>
      <c r="F39" s="17">
        <f>IF(C39&gt;=1,"n/a",D39*B6/(A39-B13))</f>
        <v/>
      </c>
    </row>
    <row r="40">
      <c r="A40" s="12" t="n">
        <v>23</v>
      </c>
      <c r="B40" s="13">
        <f>(B13*B39)/(A40+B13*B39)</f>
        <v/>
      </c>
      <c r="C40" s="14">
        <f>B13/A40</f>
        <v/>
      </c>
      <c r="D40" s="15">
        <f>IF(C40&gt;=1,1,B40/(1-C40*(1-B40)))</f>
        <v/>
      </c>
      <c r="E40" s="16">
        <f>IF(B13=0,1,IF(C40&gt;=1,0,MAX(0,MIN(1,1-D40*EXP(-(A40-B13)*(B9/B6))))))</f>
        <v/>
      </c>
      <c r="F40" s="17">
        <f>IF(C40&gt;=1,"n/a",D40*B6/(A40-B13))</f>
        <v/>
      </c>
    </row>
    <row r="41">
      <c r="A41" s="12" t="n">
        <v>24</v>
      </c>
      <c r="B41" s="13">
        <f>(B13*B40)/(A41+B13*B40)</f>
        <v/>
      </c>
      <c r="C41" s="14">
        <f>B13/A41</f>
        <v/>
      </c>
      <c r="D41" s="15">
        <f>IF(C41&gt;=1,1,B41/(1-C41*(1-B41)))</f>
        <v/>
      </c>
      <c r="E41" s="16">
        <f>IF(B13=0,1,IF(C41&gt;=1,0,MAX(0,MIN(1,1-D41*EXP(-(A41-B13)*(B9/B6))))))</f>
        <v/>
      </c>
      <c r="F41" s="17">
        <f>IF(C41&gt;=1,"n/a",D41*B6/(A41-B13))</f>
        <v/>
      </c>
    </row>
    <row r="42">
      <c r="A42" s="12" t="n">
        <v>25</v>
      </c>
      <c r="B42" s="13">
        <f>(B13*B41)/(A42+B13*B41)</f>
        <v/>
      </c>
      <c r="C42" s="14">
        <f>B13/A42</f>
        <v/>
      </c>
      <c r="D42" s="15">
        <f>IF(C42&gt;=1,1,B42/(1-C42*(1-B42)))</f>
        <v/>
      </c>
      <c r="E42" s="16">
        <f>IF(B13=0,1,IF(C42&gt;=1,0,MAX(0,MIN(1,1-D42*EXP(-(A42-B13)*(B9/B6))))))</f>
        <v/>
      </c>
      <c r="F42" s="17">
        <f>IF(C42&gt;=1,"n/a",D42*B6/(A42-B13))</f>
        <v/>
      </c>
    </row>
    <row r="43">
      <c r="A43" s="12" t="n">
        <v>26</v>
      </c>
      <c r="B43" s="13">
        <f>(B13*B42)/(A43+B13*B42)</f>
        <v/>
      </c>
      <c r="C43" s="14">
        <f>B13/A43</f>
        <v/>
      </c>
      <c r="D43" s="15">
        <f>IF(C43&gt;=1,1,B43/(1-C43*(1-B43)))</f>
        <v/>
      </c>
      <c r="E43" s="16">
        <f>IF(B13=0,1,IF(C43&gt;=1,0,MAX(0,MIN(1,1-D43*EXP(-(A43-B13)*(B9/B6))))))</f>
        <v/>
      </c>
      <c r="F43" s="17">
        <f>IF(C43&gt;=1,"n/a",D43*B6/(A43-B13))</f>
        <v/>
      </c>
    </row>
    <row r="44">
      <c r="A44" s="12" t="n">
        <v>27</v>
      </c>
      <c r="B44" s="13">
        <f>(B13*B43)/(A44+B13*B43)</f>
        <v/>
      </c>
      <c r="C44" s="14">
        <f>B13/A44</f>
        <v/>
      </c>
      <c r="D44" s="15">
        <f>IF(C44&gt;=1,1,B44/(1-C44*(1-B44)))</f>
        <v/>
      </c>
      <c r="E44" s="16">
        <f>IF(B13=0,1,IF(C44&gt;=1,0,MAX(0,MIN(1,1-D44*EXP(-(A44-B13)*(B9/B6))))))</f>
        <v/>
      </c>
      <c r="F44" s="17">
        <f>IF(C44&gt;=1,"n/a",D44*B6/(A44-B13))</f>
        <v/>
      </c>
    </row>
    <row r="45">
      <c r="A45" s="12" t="n">
        <v>28</v>
      </c>
      <c r="B45" s="13">
        <f>(B13*B44)/(A45+B13*B44)</f>
        <v/>
      </c>
      <c r="C45" s="14">
        <f>B13/A45</f>
        <v/>
      </c>
      <c r="D45" s="15">
        <f>IF(C45&gt;=1,1,B45/(1-C45*(1-B45)))</f>
        <v/>
      </c>
      <c r="E45" s="16">
        <f>IF(B13=0,1,IF(C45&gt;=1,0,MAX(0,MIN(1,1-D45*EXP(-(A45-B13)*(B9/B6))))))</f>
        <v/>
      </c>
      <c r="F45" s="17">
        <f>IF(C45&gt;=1,"n/a",D45*B6/(A45-B13))</f>
        <v/>
      </c>
    </row>
    <row r="46">
      <c r="A46" s="12" t="n">
        <v>29</v>
      </c>
      <c r="B46" s="13">
        <f>(B13*B45)/(A46+B13*B45)</f>
        <v/>
      </c>
      <c r="C46" s="14">
        <f>B13/A46</f>
        <v/>
      </c>
      <c r="D46" s="15">
        <f>IF(C46&gt;=1,1,B46/(1-C46*(1-B46)))</f>
        <v/>
      </c>
      <c r="E46" s="16">
        <f>IF(B13=0,1,IF(C46&gt;=1,0,MAX(0,MIN(1,1-D46*EXP(-(A46-B13)*(B9/B6))))))</f>
        <v/>
      </c>
      <c r="F46" s="17">
        <f>IF(C46&gt;=1,"n/a",D46*B6/(A46-B13))</f>
        <v/>
      </c>
    </row>
    <row r="47">
      <c r="A47" s="12" t="n">
        <v>30</v>
      </c>
      <c r="B47" s="13">
        <f>(B13*B46)/(A47+B13*B46)</f>
        <v/>
      </c>
      <c r="C47" s="14">
        <f>B13/A47</f>
        <v/>
      </c>
      <c r="D47" s="15">
        <f>IF(C47&gt;=1,1,B47/(1-C47*(1-B47)))</f>
        <v/>
      </c>
      <c r="E47" s="16">
        <f>IF(B13=0,1,IF(C47&gt;=1,0,MAX(0,MIN(1,1-D47*EXP(-(A47-B13)*(B9/B6))))))</f>
        <v/>
      </c>
      <c r="F47" s="17">
        <f>IF(C47&gt;=1,"n/a",D47*B6/(A47-B13))</f>
        <v/>
      </c>
    </row>
    <row r="48">
      <c r="A48" s="12" t="n">
        <v>31</v>
      </c>
      <c r="B48" s="13">
        <f>(B13*B47)/(A48+B13*B47)</f>
        <v/>
      </c>
      <c r="C48" s="14">
        <f>B13/A48</f>
        <v/>
      </c>
      <c r="D48" s="15">
        <f>IF(C48&gt;=1,1,B48/(1-C48*(1-B48)))</f>
        <v/>
      </c>
      <c r="E48" s="16">
        <f>IF(B13=0,1,IF(C48&gt;=1,0,MAX(0,MIN(1,1-D48*EXP(-(A48-B13)*(B9/B6))))))</f>
        <v/>
      </c>
      <c r="F48" s="17">
        <f>IF(C48&gt;=1,"n/a",D48*B6/(A48-B13))</f>
        <v/>
      </c>
    </row>
    <row r="49">
      <c r="A49" s="12" t="n">
        <v>32</v>
      </c>
      <c r="B49" s="13">
        <f>(B13*B48)/(A49+B13*B48)</f>
        <v/>
      </c>
      <c r="C49" s="14">
        <f>B13/A49</f>
        <v/>
      </c>
      <c r="D49" s="15">
        <f>IF(C49&gt;=1,1,B49/(1-C49*(1-B49)))</f>
        <v/>
      </c>
      <c r="E49" s="16">
        <f>IF(B13=0,1,IF(C49&gt;=1,0,MAX(0,MIN(1,1-D49*EXP(-(A49-B13)*(B9/B6))))))</f>
        <v/>
      </c>
      <c r="F49" s="17">
        <f>IF(C49&gt;=1,"n/a",D49*B6/(A49-B13))</f>
        <v/>
      </c>
    </row>
    <row r="50">
      <c r="A50" s="12" t="n">
        <v>33</v>
      </c>
      <c r="B50" s="13">
        <f>(B13*B49)/(A50+B13*B49)</f>
        <v/>
      </c>
      <c r="C50" s="14">
        <f>B13/A50</f>
        <v/>
      </c>
      <c r="D50" s="15">
        <f>IF(C50&gt;=1,1,B50/(1-C50*(1-B50)))</f>
        <v/>
      </c>
      <c r="E50" s="16">
        <f>IF(B13=0,1,IF(C50&gt;=1,0,MAX(0,MIN(1,1-D50*EXP(-(A50-B13)*(B9/B6))))))</f>
        <v/>
      </c>
      <c r="F50" s="17">
        <f>IF(C50&gt;=1,"n/a",D50*B6/(A50-B13))</f>
        <v/>
      </c>
    </row>
    <row r="51">
      <c r="A51" s="12" t="n">
        <v>34</v>
      </c>
      <c r="B51" s="13">
        <f>(B13*B50)/(A51+B13*B50)</f>
        <v/>
      </c>
      <c r="C51" s="14">
        <f>B13/A51</f>
        <v/>
      </c>
      <c r="D51" s="15">
        <f>IF(C51&gt;=1,1,B51/(1-C51*(1-B51)))</f>
        <v/>
      </c>
      <c r="E51" s="16">
        <f>IF(B13=0,1,IF(C51&gt;=1,0,MAX(0,MIN(1,1-D51*EXP(-(A51-B13)*(B9/B6))))))</f>
        <v/>
      </c>
      <c r="F51" s="17">
        <f>IF(C51&gt;=1,"n/a",D51*B6/(A51-B13))</f>
        <v/>
      </c>
    </row>
    <row r="52">
      <c r="A52" s="12" t="n">
        <v>35</v>
      </c>
      <c r="B52" s="13">
        <f>(B13*B51)/(A52+B13*B51)</f>
        <v/>
      </c>
      <c r="C52" s="14">
        <f>B13/A52</f>
        <v/>
      </c>
      <c r="D52" s="15">
        <f>IF(C52&gt;=1,1,B52/(1-C52*(1-B52)))</f>
        <v/>
      </c>
      <c r="E52" s="16">
        <f>IF(B13=0,1,IF(C52&gt;=1,0,MAX(0,MIN(1,1-D52*EXP(-(A52-B13)*(B9/B6))))))</f>
        <v/>
      </c>
      <c r="F52" s="17">
        <f>IF(C52&gt;=1,"n/a",D52*B6/(A52-B13))</f>
        <v/>
      </c>
    </row>
    <row r="53">
      <c r="A53" s="12" t="n">
        <v>36</v>
      </c>
      <c r="B53" s="13">
        <f>(B13*B52)/(A53+B13*B52)</f>
        <v/>
      </c>
      <c r="C53" s="14">
        <f>B13/A53</f>
        <v/>
      </c>
      <c r="D53" s="15">
        <f>IF(C53&gt;=1,1,B53/(1-C53*(1-B53)))</f>
        <v/>
      </c>
      <c r="E53" s="16">
        <f>IF(B13=0,1,IF(C53&gt;=1,0,MAX(0,MIN(1,1-D53*EXP(-(A53-B13)*(B9/B6))))))</f>
        <v/>
      </c>
      <c r="F53" s="17">
        <f>IF(C53&gt;=1,"n/a",D53*B6/(A53-B13))</f>
        <v/>
      </c>
    </row>
    <row r="54">
      <c r="A54" s="12" t="n">
        <v>37</v>
      </c>
      <c r="B54" s="13">
        <f>(B13*B53)/(A54+B13*B53)</f>
        <v/>
      </c>
      <c r="C54" s="14">
        <f>B13/A54</f>
        <v/>
      </c>
      <c r="D54" s="15">
        <f>IF(C54&gt;=1,1,B54/(1-C54*(1-B54)))</f>
        <v/>
      </c>
      <c r="E54" s="16">
        <f>IF(B13=0,1,IF(C54&gt;=1,0,MAX(0,MIN(1,1-D54*EXP(-(A54-B13)*(B9/B6))))))</f>
        <v/>
      </c>
      <c r="F54" s="17">
        <f>IF(C54&gt;=1,"n/a",D54*B6/(A54-B13))</f>
        <v/>
      </c>
    </row>
    <row r="55">
      <c r="A55" s="12" t="n">
        <v>38</v>
      </c>
      <c r="B55" s="13">
        <f>(B13*B54)/(A55+B13*B54)</f>
        <v/>
      </c>
      <c r="C55" s="14">
        <f>B13/A55</f>
        <v/>
      </c>
      <c r="D55" s="15">
        <f>IF(C55&gt;=1,1,B55/(1-C55*(1-B55)))</f>
        <v/>
      </c>
      <c r="E55" s="16">
        <f>IF(B13=0,1,IF(C55&gt;=1,0,MAX(0,MIN(1,1-D55*EXP(-(A55-B13)*(B9/B6))))))</f>
        <v/>
      </c>
      <c r="F55" s="17">
        <f>IF(C55&gt;=1,"n/a",D55*B6/(A55-B13))</f>
        <v/>
      </c>
    </row>
    <row r="56">
      <c r="A56" s="12" t="n">
        <v>39</v>
      </c>
      <c r="B56" s="13">
        <f>(B13*B55)/(A56+B13*B55)</f>
        <v/>
      </c>
      <c r="C56" s="14">
        <f>B13/A56</f>
        <v/>
      </c>
      <c r="D56" s="15">
        <f>IF(C56&gt;=1,1,B56/(1-C56*(1-B56)))</f>
        <v/>
      </c>
      <c r="E56" s="16">
        <f>IF(B13=0,1,IF(C56&gt;=1,0,MAX(0,MIN(1,1-D56*EXP(-(A56-B13)*(B9/B6))))))</f>
        <v/>
      </c>
      <c r="F56" s="17">
        <f>IF(C56&gt;=1,"n/a",D56*B6/(A56-B13))</f>
        <v/>
      </c>
    </row>
    <row r="57">
      <c r="A57" s="12" t="n">
        <v>40</v>
      </c>
      <c r="B57" s="13">
        <f>(B13*B56)/(A57+B13*B56)</f>
        <v/>
      </c>
      <c r="C57" s="14">
        <f>B13/A57</f>
        <v/>
      </c>
      <c r="D57" s="15">
        <f>IF(C57&gt;=1,1,B57/(1-C57*(1-B57)))</f>
        <v/>
      </c>
      <c r="E57" s="16">
        <f>IF(B13=0,1,IF(C57&gt;=1,0,MAX(0,MIN(1,1-D57*EXP(-(A57-B13)*(B9/B6))))))</f>
        <v/>
      </c>
      <c r="F57" s="17">
        <f>IF(C57&gt;=1,"n/a",D57*B6/(A57-B13))</f>
        <v/>
      </c>
    </row>
    <row r="58">
      <c r="A58" s="12" t="n">
        <v>41</v>
      </c>
      <c r="B58" s="13">
        <f>(B13*B57)/(A58+B13*B57)</f>
        <v/>
      </c>
      <c r="C58" s="14">
        <f>B13/A58</f>
        <v/>
      </c>
      <c r="D58" s="15">
        <f>IF(C58&gt;=1,1,B58/(1-C58*(1-B58)))</f>
        <v/>
      </c>
      <c r="E58" s="16">
        <f>IF(B13=0,1,IF(C58&gt;=1,0,MAX(0,MIN(1,1-D58*EXP(-(A58-B13)*(B9/B6))))))</f>
        <v/>
      </c>
      <c r="F58" s="17">
        <f>IF(C58&gt;=1,"n/a",D58*B6/(A58-B13))</f>
        <v/>
      </c>
    </row>
    <row r="59">
      <c r="A59" s="12" t="n">
        <v>42</v>
      </c>
      <c r="B59" s="13">
        <f>(B13*B58)/(A59+B13*B58)</f>
        <v/>
      </c>
      <c r="C59" s="14">
        <f>B13/A59</f>
        <v/>
      </c>
      <c r="D59" s="15">
        <f>IF(C59&gt;=1,1,B59/(1-C59*(1-B59)))</f>
        <v/>
      </c>
      <c r="E59" s="16">
        <f>IF(B13=0,1,IF(C59&gt;=1,0,MAX(0,MIN(1,1-D59*EXP(-(A59-B13)*(B9/B6))))))</f>
        <v/>
      </c>
      <c r="F59" s="17">
        <f>IF(C59&gt;=1,"n/a",D59*B6/(A59-B13))</f>
        <v/>
      </c>
    </row>
    <row r="60">
      <c r="A60" s="12" t="n">
        <v>43</v>
      </c>
      <c r="B60" s="13">
        <f>(B13*B59)/(A60+B13*B59)</f>
        <v/>
      </c>
      <c r="C60" s="14">
        <f>B13/A60</f>
        <v/>
      </c>
      <c r="D60" s="15">
        <f>IF(C60&gt;=1,1,B60/(1-C60*(1-B60)))</f>
        <v/>
      </c>
      <c r="E60" s="16">
        <f>IF(B13=0,1,IF(C60&gt;=1,0,MAX(0,MIN(1,1-D60*EXP(-(A60-B13)*(B9/B6))))))</f>
        <v/>
      </c>
      <c r="F60" s="17">
        <f>IF(C60&gt;=1,"n/a",D60*B6/(A60-B13))</f>
        <v/>
      </c>
    </row>
    <row r="61">
      <c r="A61" s="12" t="n">
        <v>44</v>
      </c>
      <c r="B61" s="13">
        <f>(B13*B60)/(A61+B13*B60)</f>
        <v/>
      </c>
      <c r="C61" s="14">
        <f>B13/A61</f>
        <v/>
      </c>
      <c r="D61" s="15">
        <f>IF(C61&gt;=1,1,B61/(1-C61*(1-B61)))</f>
        <v/>
      </c>
      <c r="E61" s="16">
        <f>IF(B13=0,1,IF(C61&gt;=1,0,MAX(0,MIN(1,1-D61*EXP(-(A61-B13)*(B9/B6))))))</f>
        <v/>
      </c>
      <c r="F61" s="17">
        <f>IF(C61&gt;=1,"n/a",D61*B6/(A61-B13))</f>
        <v/>
      </c>
    </row>
    <row r="62">
      <c r="A62" s="12" t="n">
        <v>45</v>
      </c>
      <c r="B62" s="13">
        <f>(B13*B61)/(A62+B13*B61)</f>
        <v/>
      </c>
      <c r="C62" s="14">
        <f>B13/A62</f>
        <v/>
      </c>
      <c r="D62" s="15">
        <f>IF(C62&gt;=1,1,B62/(1-C62*(1-B62)))</f>
        <v/>
      </c>
      <c r="E62" s="16">
        <f>IF(B13=0,1,IF(C62&gt;=1,0,MAX(0,MIN(1,1-D62*EXP(-(A62-B13)*(B9/B6))))))</f>
        <v/>
      </c>
      <c r="F62" s="17">
        <f>IF(C62&gt;=1,"n/a",D62*B6/(A62-B13))</f>
        <v/>
      </c>
    </row>
    <row r="63">
      <c r="A63" s="12" t="n">
        <v>46</v>
      </c>
      <c r="B63" s="13">
        <f>(B13*B62)/(A63+B13*B62)</f>
        <v/>
      </c>
      <c r="C63" s="14">
        <f>B13/A63</f>
        <v/>
      </c>
      <c r="D63" s="15">
        <f>IF(C63&gt;=1,1,B63/(1-C63*(1-B63)))</f>
        <v/>
      </c>
      <c r="E63" s="16">
        <f>IF(B13=0,1,IF(C63&gt;=1,0,MAX(0,MIN(1,1-D63*EXP(-(A63-B13)*(B9/B6))))))</f>
        <v/>
      </c>
      <c r="F63" s="17">
        <f>IF(C63&gt;=1,"n/a",D63*B6/(A63-B13))</f>
        <v/>
      </c>
    </row>
    <row r="64">
      <c r="A64" s="12" t="n">
        <v>47</v>
      </c>
      <c r="B64" s="13">
        <f>(B13*B63)/(A64+B13*B63)</f>
        <v/>
      </c>
      <c r="C64" s="14">
        <f>B13/A64</f>
        <v/>
      </c>
      <c r="D64" s="15">
        <f>IF(C64&gt;=1,1,B64/(1-C64*(1-B64)))</f>
        <v/>
      </c>
      <c r="E64" s="16">
        <f>IF(B13=0,1,IF(C64&gt;=1,0,MAX(0,MIN(1,1-D64*EXP(-(A64-B13)*(B9/B6))))))</f>
        <v/>
      </c>
      <c r="F64" s="17">
        <f>IF(C64&gt;=1,"n/a",D64*B6/(A64-B13))</f>
        <v/>
      </c>
    </row>
    <row r="65">
      <c r="A65" s="12" t="n">
        <v>48</v>
      </c>
      <c r="B65" s="13">
        <f>(B13*B64)/(A65+B13*B64)</f>
        <v/>
      </c>
      <c r="C65" s="14">
        <f>B13/A65</f>
        <v/>
      </c>
      <c r="D65" s="15">
        <f>IF(C65&gt;=1,1,B65/(1-C65*(1-B65)))</f>
        <v/>
      </c>
      <c r="E65" s="16">
        <f>IF(B13=0,1,IF(C65&gt;=1,0,MAX(0,MIN(1,1-D65*EXP(-(A65-B13)*(B9/B6))))))</f>
        <v/>
      </c>
      <c r="F65" s="17">
        <f>IF(C65&gt;=1,"n/a",D65*B6/(A65-B13))</f>
        <v/>
      </c>
    </row>
    <row r="66">
      <c r="A66" s="12" t="n">
        <v>49</v>
      </c>
      <c r="B66" s="13">
        <f>(B13*B65)/(A66+B13*B65)</f>
        <v/>
      </c>
      <c r="C66" s="14">
        <f>B13/A66</f>
        <v/>
      </c>
      <c r="D66" s="15">
        <f>IF(C66&gt;=1,1,B66/(1-C66*(1-B66)))</f>
        <v/>
      </c>
      <c r="E66" s="16">
        <f>IF(B13=0,1,IF(C66&gt;=1,0,MAX(0,MIN(1,1-D66*EXP(-(A66-B13)*(B9/B6))))))</f>
        <v/>
      </c>
      <c r="F66" s="17">
        <f>IF(C66&gt;=1,"n/a",D66*B6/(A66-B13))</f>
        <v/>
      </c>
    </row>
    <row r="67">
      <c r="A67" s="12" t="n">
        <v>50</v>
      </c>
      <c r="B67" s="13">
        <f>(B13*B66)/(A67+B13*B66)</f>
        <v/>
      </c>
      <c r="C67" s="14">
        <f>B13/A67</f>
        <v/>
      </c>
      <c r="D67" s="15">
        <f>IF(C67&gt;=1,1,B67/(1-C67*(1-B67)))</f>
        <v/>
      </c>
      <c r="E67" s="16">
        <f>IF(B13=0,1,IF(C67&gt;=1,0,MAX(0,MIN(1,1-D67*EXP(-(A67-B13)*(B9/B6))))))</f>
        <v/>
      </c>
      <c r="F67" s="17">
        <f>IF(C67&gt;=1,"n/a",D67*B6/(A67-B13))</f>
        <v/>
      </c>
    </row>
    <row r="68">
      <c r="A68" s="12" t="n">
        <v>51</v>
      </c>
      <c r="B68" s="13">
        <f>(B13*B67)/(A68+B13*B67)</f>
        <v/>
      </c>
      <c r="C68" s="14">
        <f>B13/A68</f>
        <v/>
      </c>
      <c r="D68" s="15">
        <f>IF(C68&gt;=1,1,B68/(1-C68*(1-B68)))</f>
        <v/>
      </c>
      <c r="E68" s="16">
        <f>IF(B13=0,1,IF(C68&gt;=1,0,MAX(0,MIN(1,1-D68*EXP(-(A68-B13)*(B9/B6))))))</f>
        <v/>
      </c>
      <c r="F68" s="17">
        <f>IF(C68&gt;=1,"n/a",D68*B6/(A68-B13))</f>
        <v/>
      </c>
    </row>
    <row r="69">
      <c r="A69" s="12" t="n">
        <v>52</v>
      </c>
      <c r="B69" s="13">
        <f>(B13*B68)/(A69+B13*B68)</f>
        <v/>
      </c>
      <c r="C69" s="14">
        <f>B13/A69</f>
        <v/>
      </c>
      <c r="D69" s="15">
        <f>IF(C69&gt;=1,1,B69/(1-C69*(1-B69)))</f>
        <v/>
      </c>
      <c r="E69" s="16">
        <f>IF(B13=0,1,IF(C69&gt;=1,0,MAX(0,MIN(1,1-D69*EXP(-(A69-B13)*(B9/B6))))))</f>
        <v/>
      </c>
      <c r="F69" s="17">
        <f>IF(C69&gt;=1,"n/a",D69*B6/(A69-B13))</f>
        <v/>
      </c>
    </row>
    <row r="70">
      <c r="A70" s="12" t="n">
        <v>53</v>
      </c>
      <c r="B70" s="13">
        <f>(B13*B69)/(A70+B13*B69)</f>
        <v/>
      </c>
      <c r="C70" s="14">
        <f>B13/A70</f>
        <v/>
      </c>
      <c r="D70" s="15">
        <f>IF(C70&gt;=1,1,B70/(1-C70*(1-B70)))</f>
        <v/>
      </c>
      <c r="E70" s="16">
        <f>IF(B13=0,1,IF(C70&gt;=1,0,MAX(0,MIN(1,1-D70*EXP(-(A70-B13)*(B9/B6))))))</f>
        <v/>
      </c>
      <c r="F70" s="17">
        <f>IF(C70&gt;=1,"n/a",D70*B6/(A70-B13))</f>
        <v/>
      </c>
    </row>
    <row r="71">
      <c r="A71" s="12" t="n">
        <v>54</v>
      </c>
      <c r="B71" s="13">
        <f>(B13*B70)/(A71+B13*B70)</f>
        <v/>
      </c>
      <c r="C71" s="14">
        <f>B13/A71</f>
        <v/>
      </c>
      <c r="D71" s="15">
        <f>IF(C71&gt;=1,1,B71/(1-C71*(1-B71)))</f>
        <v/>
      </c>
      <c r="E71" s="16">
        <f>IF(B13=0,1,IF(C71&gt;=1,0,MAX(0,MIN(1,1-D71*EXP(-(A71-B13)*(B9/B6))))))</f>
        <v/>
      </c>
      <c r="F71" s="17">
        <f>IF(C71&gt;=1,"n/a",D71*B6/(A71-B13))</f>
        <v/>
      </c>
    </row>
    <row r="72">
      <c r="A72" s="12" t="n">
        <v>55</v>
      </c>
      <c r="B72" s="13">
        <f>(B13*B71)/(A72+B13*B71)</f>
        <v/>
      </c>
      <c r="C72" s="14">
        <f>B13/A72</f>
        <v/>
      </c>
      <c r="D72" s="15">
        <f>IF(C72&gt;=1,1,B72/(1-C72*(1-B72)))</f>
        <v/>
      </c>
      <c r="E72" s="16">
        <f>IF(B13=0,1,IF(C72&gt;=1,0,MAX(0,MIN(1,1-D72*EXP(-(A72-B13)*(B9/B6))))))</f>
        <v/>
      </c>
      <c r="F72" s="17">
        <f>IF(C72&gt;=1,"n/a",D72*B6/(A72-B13))</f>
        <v/>
      </c>
    </row>
    <row r="73">
      <c r="A73" s="12" t="n">
        <v>56</v>
      </c>
      <c r="B73" s="13">
        <f>(B13*B72)/(A73+B13*B72)</f>
        <v/>
      </c>
      <c r="C73" s="14">
        <f>B13/A73</f>
        <v/>
      </c>
      <c r="D73" s="15">
        <f>IF(C73&gt;=1,1,B73/(1-C73*(1-B73)))</f>
        <v/>
      </c>
      <c r="E73" s="16">
        <f>IF(B13=0,1,IF(C73&gt;=1,0,MAX(0,MIN(1,1-D73*EXP(-(A73-B13)*(B9/B6))))))</f>
        <v/>
      </c>
      <c r="F73" s="17">
        <f>IF(C73&gt;=1,"n/a",D73*B6/(A73-B13))</f>
        <v/>
      </c>
    </row>
    <row r="74">
      <c r="A74" s="12" t="n">
        <v>57</v>
      </c>
      <c r="B74" s="13">
        <f>(B13*B73)/(A74+B13*B73)</f>
        <v/>
      </c>
      <c r="C74" s="14">
        <f>B13/A74</f>
        <v/>
      </c>
      <c r="D74" s="15">
        <f>IF(C74&gt;=1,1,B74/(1-C74*(1-B74)))</f>
        <v/>
      </c>
      <c r="E74" s="16">
        <f>IF(B13=0,1,IF(C74&gt;=1,0,MAX(0,MIN(1,1-D74*EXP(-(A74-B13)*(B9/B6))))))</f>
        <v/>
      </c>
      <c r="F74" s="17">
        <f>IF(C74&gt;=1,"n/a",D74*B6/(A74-B13))</f>
        <v/>
      </c>
    </row>
    <row r="75">
      <c r="A75" s="12" t="n">
        <v>58</v>
      </c>
      <c r="B75" s="13">
        <f>(B13*B74)/(A75+B13*B74)</f>
        <v/>
      </c>
      <c r="C75" s="14">
        <f>B13/A75</f>
        <v/>
      </c>
      <c r="D75" s="15">
        <f>IF(C75&gt;=1,1,B75/(1-C75*(1-B75)))</f>
        <v/>
      </c>
      <c r="E75" s="16">
        <f>IF(B13=0,1,IF(C75&gt;=1,0,MAX(0,MIN(1,1-D75*EXP(-(A75-B13)*(B9/B6))))))</f>
        <v/>
      </c>
      <c r="F75" s="17">
        <f>IF(C75&gt;=1,"n/a",D75*B6/(A75-B13))</f>
        <v/>
      </c>
    </row>
    <row r="76">
      <c r="A76" s="12" t="n">
        <v>59</v>
      </c>
      <c r="B76" s="13">
        <f>(B13*B75)/(A76+B13*B75)</f>
        <v/>
      </c>
      <c r="C76" s="14">
        <f>B13/A76</f>
        <v/>
      </c>
      <c r="D76" s="15">
        <f>IF(C76&gt;=1,1,B76/(1-C76*(1-B76)))</f>
        <v/>
      </c>
      <c r="E76" s="16">
        <f>IF(B13=0,1,IF(C76&gt;=1,0,MAX(0,MIN(1,1-D76*EXP(-(A76-B13)*(B9/B6))))))</f>
        <v/>
      </c>
      <c r="F76" s="17">
        <f>IF(C76&gt;=1,"n/a",D76*B6/(A76-B13))</f>
        <v/>
      </c>
    </row>
    <row r="77">
      <c r="A77" s="12" t="n">
        <v>60</v>
      </c>
      <c r="B77" s="13">
        <f>(B13*B76)/(A77+B13*B76)</f>
        <v/>
      </c>
      <c r="C77" s="14">
        <f>B13/A77</f>
        <v/>
      </c>
      <c r="D77" s="15">
        <f>IF(C77&gt;=1,1,B77/(1-C77*(1-B77)))</f>
        <v/>
      </c>
      <c r="E77" s="16">
        <f>IF(B13=0,1,IF(C77&gt;=1,0,MAX(0,MIN(1,1-D77*EXP(-(A77-B13)*(B9/B6))))))</f>
        <v/>
      </c>
      <c r="F77" s="17">
        <f>IF(C77&gt;=1,"n/a",D77*B6/(A77-B13))</f>
        <v/>
      </c>
    </row>
    <row r="78">
      <c r="A78" s="12" t="n">
        <v>61</v>
      </c>
      <c r="B78" s="13">
        <f>(B13*B77)/(A78+B13*B77)</f>
        <v/>
      </c>
      <c r="C78" s="14">
        <f>B13/A78</f>
        <v/>
      </c>
      <c r="D78" s="15">
        <f>IF(C78&gt;=1,1,B78/(1-C78*(1-B78)))</f>
        <v/>
      </c>
      <c r="E78" s="16">
        <f>IF(B13=0,1,IF(C78&gt;=1,0,MAX(0,MIN(1,1-D78*EXP(-(A78-B13)*(B9/B6))))))</f>
        <v/>
      </c>
      <c r="F78" s="17">
        <f>IF(C78&gt;=1,"n/a",D78*B6/(A78-B13))</f>
        <v/>
      </c>
    </row>
    <row r="79">
      <c r="A79" s="12" t="n">
        <v>62</v>
      </c>
      <c r="B79" s="13">
        <f>(B13*B78)/(A79+B13*B78)</f>
        <v/>
      </c>
      <c r="C79" s="14">
        <f>B13/A79</f>
        <v/>
      </c>
      <c r="D79" s="15">
        <f>IF(C79&gt;=1,1,B79/(1-C79*(1-B79)))</f>
        <v/>
      </c>
      <c r="E79" s="16">
        <f>IF(B13=0,1,IF(C79&gt;=1,0,MAX(0,MIN(1,1-D79*EXP(-(A79-B13)*(B9/B6))))))</f>
        <v/>
      </c>
      <c r="F79" s="17">
        <f>IF(C79&gt;=1,"n/a",D79*B6/(A79-B13))</f>
        <v/>
      </c>
    </row>
    <row r="80">
      <c r="A80" s="12" t="n">
        <v>63</v>
      </c>
      <c r="B80" s="13">
        <f>(B13*B79)/(A80+B13*B79)</f>
        <v/>
      </c>
      <c r="C80" s="14">
        <f>B13/A80</f>
        <v/>
      </c>
      <c r="D80" s="15">
        <f>IF(C80&gt;=1,1,B80/(1-C80*(1-B80)))</f>
        <v/>
      </c>
      <c r="E80" s="16">
        <f>IF(B13=0,1,IF(C80&gt;=1,0,MAX(0,MIN(1,1-D80*EXP(-(A80-B13)*(B9/B6))))))</f>
        <v/>
      </c>
      <c r="F80" s="17">
        <f>IF(C80&gt;=1,"n/a",D80*B6/(A80-B13))</f>
        <v/>
      </c>
    </row>
    <row r="81">
      <c r="A81" s="12" t="n">
        <v>64</v>
      </c>
      <c r="B81" s="13">
        <f>(B13*B80)/(A81+B13*B80)</f>
        <v/>
      </c>
      <c r="C81" s="14">
        <f>B13/A81</f>
        <v/>
      </c>
      <c r="D81" s="15">
        <f>IF(C81&gt;=1,1,B81/(1-C81*(1-B81)))</f>
        <v/>
      </c>
      <c r="E81" s="16">
        <f>IF(B13=0,1,IF(C81&gt;=1,0,MAX(0,MIN(1,1-D81*EXP(-(A81-B13)*(B9/B6))))))</f>
        <v/>
      </c>
      <c r="F81" s="17">
        <f>IF(C81&gt;=1,"n/a",D81*B6/(A81-B13))</f>
        <v/>
      </c>
    </row>
    <row r="82">
      <c r="A82" s="12" t="n">
        <v>65</v>
      </c>
      <c r="B82" s="13">
        <f>(B13*B81)/(A82+B13*B81)</f>
        <v/>
      </c>
      <c r="C82" s="14">
        <f>B13/A82</f>
        <v/>
      </c>
      <c r="D82" s="15">
        <f>IF(C82&gt;=1,1,B82/(1-C82*(1-B82)))</f>
        <v/>
      </c>
      <c r="E82" s="16">
        <f>IF(B13=0,1,IF(C82&gt;=1,0,MAX(0,MIN(1,1-D82*EXP(-(A82-B13)*(B9/B6))))))</f>
        <v/>
      </c>
      <c r="F82" s="17">
        <f>IF(C82&gt;=1,"n/a",D82*B6/(A82-B13))</f>
        <v/>
      </c>
    </row>
    <row r="83">
      <c r="A83" s="12" t="n">
        <v>66</v>
      </c>
      <c r="B83" s="13">
        <f>(B13*B82)/(A83+B13*B82)</f>
        <v/>
      </c>
      <c r="C83" s="14">
        <f>B13/A83</f>
        <v/>
      </c>
      <c r="D83" s="15">
        <f>IF(C83&gt;=1,1,B83/(1-C83*(1-B83)))</f>
        <v/>
      </c>
      <c r="E83" s="16">
        <f>IF(B13=0,1,IF(C83&gt;=1,0,MAX(0,MIN(1,1-D83*EXP(-(A83-B13)*(B9/B6))))))</f>
        <v/>
      </c>
      <c r="F83" s="17">
        <f>IF(C83&gt;=1,"n/a",D83*B6/(A83-B13))</f>
        <v/>
      </c>
    </row>
    <row r="84">
      <c r="A84" s="12" t="n">
        <v>67</v>
      </c>
      <c r="B84" s="13">
        <f>(B13*B83)/(A84+B13*B83)</f>
        <v/>
      </c>
      <c r="C84" s="14">
        <f>B13/A84</f>
        <v/>
      </c>
      <c r="D84" s="15">
        <f>IF(C84&gt;=1,1,B84/(1-C84*(1-B84)))</f>
        <v/>
      </c>
      <c r="E84" s="16">
        <f>IF(B13=0,1,IF(C84&gt;=1,0,MAX(0,MIN(1,1-D84*EXP(-(A84-B13)*(B9/B6))))))</f>
        <v/>
      </c>
      <c r="F84" s="17">
        <f>IF(C84&gt;=1,"n/a",D84*B6/(A84-B13))</f>
        <v/>
      </c>
    </row>
    <row r="85">
      <c r="A85" s="12" t="n">
        <v>68</v>
      </c>
      <c r="B85" s="13">
        <f>(B13*B84)/(A85+B13*B84)</f>
        <v/>
      </c>
      <c r="C85" s="14">
        <f>B13/A85</f>
        <v/>
      </c>
      <c r="D85" s="15">
        <f>IF(C85&gt;=1,1,B85/(1-C85*(1-B85)))</f>
        <v/>
      </c>
      <c r="E85" s="16">
        <f>IF(B13=0,1,IF(C85&gt;=1,0,MAX(0,MIN(1,1-D85*EXP(-(A85-B13)*(B9/B6))))))</f>
        <v/>
      </c>
      <c r="F85" s="17">
        <f>IF(C85&gt;=1,"n/a",D85*B6/(A85-B13))</f>
        <v/>
      </c>
    </row>
    <row r="86">
      <c r="A86" s="12" t="n">
        <v>69</v>
      </c>
      <c r="B86" s="13">
        <f>(B13*B85)/(A86+B13*B85)</f>
        <v/>
      </c>
      <c r="C86" s="14">
        <f>B13/A86</f>
        <v/>
      </c>
      <c r="D86" s="15">
        <f>IF(C86&gt;=1,1,B86/(1-C86*(1-B86)))</f>
        <v/>
      </c>
      <c r="E86" s="16">
        <f>IF(B13=0,1,IF(C86&gt;=1,0,MAX(0,MIN(1,1-D86*EXP(-(A86-B13)*(B9/B6))))))</f>
        <v/>
      </c>
      <c r="F86" s="17">
        <f>IF(C86&gt;=1,"n/a",D86*B6/(A86-B13))</f>
        <v/>
      </c>
    </row>
    <row r="87">
      <c r="A87" s="12" t="n">
        <v>70</v>
      </c>
      <c r="B87" s="13">
        <f>(B13*B86)/(A87+B13*B86)</f>
        <v/>
      </c>
      <c r="C87" s="14">
        <f>B13/A87</f>
        <v/>
      </c>
      <c r="D87" s="15">
        <f>IF(C87&gt;=1,1,B87/(1-C87*(1-B87)))</f>
        <v/>
      </c>
      <c r="E87" s="16">
        <f>IF(B13=0,1,IF(C87&gt;=1,0,MAX(0,MIN(1,1-D87*EXP(-(A87-B13)*(B9/B6))))))</f>
        <v/>
      </c>
      <c r="F87" s="17">
        <f>IF(C87&gt;=1,"n/a",D87*B6/(A87-B13))</f>
        <v/>
      </c>
    </row>
    <row r="88">
      <c r="A88" s="12" t="n">
        <v>71</v>
      </c>
      <c r="B88" s="13">
        <f>(B13*B87)/(A88+B13*B87)</f>
        <v/>
      </c>
      <c r="C88" s="14">
        <f>B13/A88</f>
        <v/>
      </c>
      <c r="D88" s="15">
        <f>IF(C88&gt;=1,1,B88/(1-C88*(1-B88)))</f>
        <v/>
      </c>
      <c r="E88" s="16">
        <f>IF(B13=0,1,IF(C88&gt;=1,0,MAX(0,MIN(1,1-D88*EXP(-(A88-B13)*(B9/B6))))))</f>
        <v/>
      </c>
      <c r="F88" s="17">
        <f>IF(C88&gt;=1,"n/a",D88*B6/(A88-B13))</f>
        <v/>
      </c>
    </row>
    <row r="89">
      <c r="A89" s="12" t="n">
        <v>72</v>
      </c>
      <c r="B89" s="13">
        <f>(B13*B88)/(A89+B13*B88)</f>
        <v/>
      </c>
      <c r="C89" s="14">
        <f>B13/A89</f>
        <v/>
      </c>
      <c r="D89" s="15">
        <f>IF(C89&gt;=1,1,B89/(1-C89*(1-B89)))</f>
        <v/>
      </c>
      <c r="E89" s="16">
        <f>IF(B13=0,1,IF(C89&gt;=1,0,MAX(0,MIN(1,1-D89*EXP(-(A89-B13)*(B9/B6))))))</f>
        <v/>
      </c>
      <c r="F89" s="17">
        <f>IF(C89&gt;=1,"n/a",D89*B6/(A89-B13))</f>
        <v/>
      </c>
    </row>
    <row r="90">
      <c r="A90" s="12" t="n">
        <v>73</v>
      </c>
      <c r="B90" s="13">
        <f>(B13*B89)/(A90+B13*B89)</f>
        <v/>
      </c>
      <c r="C90" s="14">
        <f>B13/A90</f>
        <v/>
      </c>
      <c r="D90" s="15">
        <f>IF(C90&gt;=1,1,B90/(1-C90*(1-B90)))</f>
        <v/>
      </c>
      <c r="E90" s="16">
        <f>IF(B13=0,1,IF(C90&gt;=1,0,MAX(0,MIN(1,1-D90*EXP(-(A90-B13)*(B9/B6))))))</f>
        <v/>
      </c>
      <c r="F90" s="17">
        <f>IF(C90&gt;=1,"n/a",D90*B6/(A90-B13))</f>
        <v/>
      </c>
    </row>
    <row r="91">
      <c r="A91" s="12" t="n">
        <v>74</v>
      </c>
      <c r="B91" s="13">
        <f>(B13*B90)/(A91+B13*B90)</f>
        <v/>
      </c>
      <c r="C91" s="14">
        <f>B13/A91</f>
        <v/>
      </c>
      <c r="D91" s="15">
        <f>IF(C91&gt;=1,1,B91/(1-C91*(1-B91)))</f>
        <v/>
      </c>
      <c r="E91" s="16">
        <f>IF(B13=0,1,IF(C91&gt;=1,0,MAX(0,MIN(1,1-D91*EXP(-(A91-B13)*(B9/B6))))))</f>
        <v/>
      </c>
      <c r="F91" s="17">
        <f>IF(C91&gt;=1,"n/a",D91*B6/(A91-B13))</f>
        <v/>
      </c>
    </row>
    <row r="92">
      <c r="A92" s="12" t="n">
        <v>75</v>
      </c>
      <c r="B92" s="13">
        <f>(B13*B91)/(A92+B13*B91)</f>
        <v/>
      </c>
      <c r="C92" s="14">
        <f>B13/A92</f>
        <v/>
      </c>
      <c r="D92" s="15">
        <f>IF(C92&gt;=1,1,B92/(1-C92*(1-B92)))</f>
        <v/>
      </c>
      <c r="E92" s="16">
        <f>IF(B13=0,1,IF(C92&gt;=1,0,MAX(0,MIN(1,1-D92*EXP(-(A92-B13)*(B9/B6))))))</f>
        <v/>
      </c>
      <c r="F92" s="17">
        <f>IF(C92&gt;=1,"n/a",D92*B6/(A92-B13))</f>
        <v/>
      </c>
    </row>
    <row r="93">
      <c r="A93" s="12" t="n">
        <v>76</v>
      </c>
      <c r="B93" s="13">
        <f>(B13*B92)/(A93+B13*B92)</f>
        <v/>
      </c>
      <c r="C93" s="14">
        <f>B13/A93</f>
        <v/>
      </c>
      <c r="D93" s="15">
        <f>IF(C93&gt;=1,1,B93/(1-C93*(1-B93)))</f>
        <v/>
      </c>
      <c r="E93" s="16">
        <f>IF(B13=0,1,IF(C93&gt;=1,0,MAX(0,MIN(1,1-D93*EXP(-(A93-B13)*(B9/B6))))))</f>
        <v/>
      </c>
      <c r="F93" s="17">
        <f>IF(C93&gt;=1,"n/a",D93*B6/(A93-B13))</f>
        <v/>
      </c>
    </row>
    <row r="94">
      <c r="A94" s="12" t="n">
        <v>77</v>
      </c>
      <c r="B94" s="13">
        <f>(B13*B93)/(A94+B13*B93)</f>
        <v/>
      </c>
      <c r="C94" s="14">
        <f>B13/A94</f>
        <v/>
      </c>
      <c r="D94" s="15">
        <f>IF(C94&gt;=1,1,B94/(1-C94*(1-B94)))</f>
        <v/>
      </c>
      <c r="E94" s="16">
        <f>IF(B13=0,1,IF(C94&gt;=1,0,MAX(0,MIN(1,1-D94*EXP(-(A94-B13)*(B9/B6))))))</f>
        <v/>
      </c>
      <c r="F94" s="17">
        <f>IF(C94&gt;=1,"n/a",D94*B6/(A94-B13))</f>
        <v/>
      </c>
    </row>
    <row r="95">
      <c r="A95" s="12" t="n">
        <v>78</v>
      </c>
      <c r="B95" s="13">
        <f>(B13*B94)/(A95+B13*B94)</f>
        <v/>
      </c>
      <c r="C95" s="14">
        <f>B13/A95</f>
        <v/>
      </c>
      <c r="D95" s="15">
        <f>IF(C95&gt;=1,1,B95/(1-C95*(1-B95)))</f>
        <v/>
      </c>
      <c r="E95" s="16">
        <f>IF(B13=0,1,IF(C95&gt;=1,0,MAX(0,MIN(1,1-D95*EXP(-(A95-B13)*(B9/B6))))))</f>
        <v/>
      </c>
      <c r="F95" s="17">
        <f>IF(C95&gt;=1,"n/a",D95*B6/(A95-B13))</f>
        <v/>
      </c>
    </row>
    <row r="96">
      <c r="A96" s="12" t="n">
        <v>79</v>
      </c>
      <c r="B96" s="13">
        <f>(B13*B95)/(A96+B13*B95)</f>
        <v/>
      </c>
      <c r="C96" s="14">
        <f>B13/A96</f>
        <v/>
      </c>
      <c r="D96" s="15">
        <f>IF(C96&gt;=1,1,B96/(1-C96*(1-B96)))</f>
        <v/>
      </c>
      <c r="E96" s="16">
        <f>IF(B13=0,1,IF(C96&gt;=1,0,MAX(0,MIN(1,1-D96*EXP(-(A96-B13)*(B9/B6))))))</f>
        <v/>
      </c>
      <c r="F96" s="17">
        <f>IF(C96&gt;=1,"n/a",D96*B6/(A96-B13))</f>
        <v/>
      </c>
    </row>
    <row r="97">
      <c r="A97" s="12" t="n">
        <v>80</v>
      </c>
      <c r="B97" s="13">
        <f>(B13*B96)/(A97+B13*B96)</f>
        <v/>
      </c>
      <c r="C97" s="14">
        <f>B13/A97</f>
        <v/>
      </c>
      <c r="D97" s="15">
        <f>IF(C97&gt;=1,1,B97/(1-C97*(1-B97)))</f>
        <v/>
      </c>
      <c r="E97" s="16">
        <f>IF(B13=0,1,IF(C97&gt;=1,0,MAX(0,MIN(1,1-D97*EXP(-(A97-B13)*(B9/B6))))))</f>
        <v/>
      </c>
      <c r="F97" s="17">
        <f>IF(C97&gt;=1,"n/a",D97*B6/(A97-B13))</f>
        <v/>
      </c>
    </row>
    <row r="98">
      <c r="A98" s="12" t="n">
        <v>81</v>
      </c>
      <c r="B98" s="13">
        <f>(B13*B97)/(A98+B13*B97)</f>
        <v/>
      </c>
      <c r="C98" s="14">
        <f>B13/A98</f>
        <v/>
      </c>
      <c r="D98" s="15">
        <f>IF(C98&gt;=1,1,B98/(1-C98*(1-B98)))</f>
        <v/>
      </c>
      <c r="E98" s="16">
        <f>IF(B13=0,1,IF(C98&gt;=1,0,MAX(0,MIN(1,1-D98*EXP(-(A98-B13)*(B9/B6))))))</f>
        <v/>
      </c>
      <c r="F98" s="17">
        <f>IF(C98&gt;=1,"n/a",D98*B6/(A98-B13))</f>
        <v/>
      </c>
    </row>
    <row r="99">
      <c r="A99" s="12" t="n">
        <v>82</v>
      </c>
      <c r="B99" s="13">
        <f>(B13*B98)/(A99+B13*B98)</f>
        <v/>
      </c>
      <c r="C99" s="14">
        <f>B13/A99</f>
        <v/>
      </c>
      <c r="D99" s="15">
        <f>IF(C99&gt;=1,1,B99/(1-C99*(1-B99)))</f>
        <v/>
      </c>
      <c r="E99" s="16">
        <f>IF(B13=0,1,IF(C99&gt;=1,0,MAX(0,MIN(1,1-D99*EXP(-(A99-B13)*(B9/B6))))))</f>
        <v/>
      </c>
      <c r="F99" s="17">
        <f>IF(C99&gt;=1,"n/a",D99*B6/(A99-B13))</f>
        <v/>
      </c>
    </row>
    <row r="100">
      <c r="A100" s="12" t="n">
        <v>83</v>
      </c>
      <c r="B100" s="13">
        <f>(B13*B99)/(A100+B13*B99)</f>
        <v/>
      </c>
      <c r="C100" s="14">
        <f>B13/A100</f>
        <v/>
      </c>
      <c r="D100" s="15">
        <f>IF(C100&gt;=1,1,B100/(1-C100*(1-B100)))</f>
        <v/>
      </c>
      <c r="E100" s="16">
        <f>IF(B13=0,1,IF(C100&gt;=1,0,MAX(0,MIN(1,1-D100*EXP(-(A100-B13)*(B9/B6))))))</f>
        <v/>
      </c>
      <c r="F100" s="17">
        <f>IF(C100&gt;=1,"n/a",D100*B6/(A100-B13))</f>
        <v/>
      </c>
    </row>
    <row r="101">
      <c r="A101" s="12" t="n">
        <v>84</v>
      </c>
      <c r="B101" s="13">
        <f>(B13*B100)/(A101+B13*B100)</f>
        <v/>
      </c>
      <c r="C101" s="14">
        <f>B13/A101</f>
        <v/>
      </c>
      <c r="D101" s="15">
        <f>IF(C101&gt;=1,1,B101/(1-C101*(1-B101)))</f>
        <v/>
      </c>
      <c r="E101" s="16">
        <f>IF(B13=0,1,IF(C101&gt;=1,0,MAX(0,MIN(1,1-D101*EXP(-(A101-B13)*(B9/B6))))))</f>
        <v/>
      </c>
      <c r="F101" s="17">
        <f>IF(C101&gt;=1,"n/a",D101*B6/(A101-B13))</f>
        <v/>
      </c>
    </row>
    <row r="102">
      <c r="A102" s="12" t="n">
        <v>85</v>
      </c>
      <c r="B102" s="13">
        <f>(B13*B101)/(A102+B13*B101)</f>
        <v/>
      </c>
      <c r="C102" s="14">
        <f>B13/A102</f>
        <v/>
      </c>
      <c r="D102" s="15">
        <f>IF(C102&gt;=1,1,B102/(1-C102*(1-B102)))</f>
        <v/>
      </c>
      <c r="E102" s="16">
        <f>IF(B13=0,1,IF(C102&gt;=1,0,MAX(0,MIN(1,1-D102*EXP(-(A102-B13)*(B9/B6))))))</f>
        <v/>
      </c>
      <c r="F102" s="17">
        <f>IF(C102&gt;=1,"n/a",D102*B6/(A102-B13))</f>
        <v/>
      </c>
    </row>
    <row r="103">
      <c r="A103" s="12" t="n">
        <v>86</v>
      </c>
      <c r="B103" s="13">
        <f>(B13*B102)/(A103+B13*B102)</f>
        <v/>
      </c>
      <c r="C103" s="14">
        <f>B13/A103</f>
        <v/>
      </c>
      <c r="D103" s="15">
        <f>IF(C103&gt;=1,1,B103/(1-C103*(1-B103)))</f>
        <v/>
      </c>
      <c r="E103" s="16">
        <f>IF(B13=0,1,IF(C103&gt;=1,0,MAX(0,MIN(1,1-D103*EXP(-(A103-B13)*(B9/B6))))))</f>
        <v/>
      </c>
      <c r="F103" s="17">
        <f>IF(C103&gt;=1,"n/a",D103*B6/(A103-B13))</f>
        <v/>
      </c>
    </row>
    <row r="104">
      <c r="A104" s="12" t="n">
        <v>87</v>
      </c>
      <c r="B104" s="13">
        <f>(B13*B103)/(A104+B13*B103)</f>
        <v/>
      </c>
      <c r="C104" s="14">
        <f>B13/A104</f>
        <v/>
      </c>
      <c r="D104" s="15">
        <f>IF(C104&gt;=1,1,B104/(1-C104*(1-B104)))</f>
        <v/>
      </c>
      <c r="E104" s="16">
        <f>IF(B13=0,1,IF(C104&gt;=1,0,MAX(0,MIN(1,1-D104*EXP(-(A104-B13)*(B9/B6))))))</f>
        <v/>
      </c>
      <c r="F104" s="17">
        <f>IF(C104&gt;=1,"n/a",D104*B6/(A104-B13))</f>
        <v/>
      </c>
    </row>
    <row r="105">
      <c r="A105" s="12" t="n">
        <v>88</v>
      </c>
      <c r="B105" s="13">
        <f>(B13*B104)/(A105+B13*B104)</f>
        <v/>
      </c>
      <c r="C105" s="14">
        <f>B13/A105</f>
        <v/>
      </c>
      <c r="D105" s="15">
        <f>IF(C105&gt;=1,1,B105/(1-C105*(1-B105)))</f>
        <v/>
      </c>
      <c r="E105" s="16">
        <f>IF(B13=0,1,IF(C105&gt;=1,0,MAX(0,MIN(1,1-D105*EXP(-(A105-B13)*(B9/B6))))))</f>
        <v/>
      </c>
      <c r="F105" s="17">
        <f>IF(C105&gt;=1,"n/a",D105*B6/(A105-B13))</f>
        <v/>
      </c>
    </row>
    <row r="106">
      <c r="A106" s="12" t="n">
        <v>89</v>
      </c>
      <c r="B106" s="13">
        <f>(B13*B105)/(A106+B13*B105)</f>
        <v/>
      </c>
      <c r="C106" s="14">
        <f>B13/A106</f>
        <v/>
      </c>
      <c r="D106" s="15">
        <f>IF(C106&gt;=1,1,B106/(1-C106*(1-B106)))</f>
        <v/>
      </c>
      <c r="E106" s="16">
        <f>IF(B13=0,1,IF(C106&gt;=1,0,MAX(0,MIN(1,1-D106*EXP(-(A106-B13)*(B9/B6))))))</f>
        <v/>
      </c>
      <c r="F106" s="17">
        <f>IF(C106&gt;=1,"n/a",D106*B6/(A106-B13))</f>
        <v/>
      </c>
    </row>
    <row r="107">
      <c r="A107" s="12" t="n">
        <v>90</v>
      </c>
      <c r="B107" s="13">
        <f>(B13*B106)/(A107+B13*B106)</f>
        <v/>
      </c>
      <c r="C107" s="14">
        <f>B13/A107</f>
        <v/>
      </c>
      <c r="D107" s="15">
        <f>IF(C107&gt;=1,1,B107/(1-C107*(1-B107)))</f>
        <v/>
      </c>
      <c r="E107" s="16">
        <f>IF(B13=0,1,IF(C107&gt;=1,0,MAX(0,MIN(1,1-D107*EXP(-(A107-B13)*(B9/B6))))))</f>
        <v/>
      </c>
      <c r="F107" s="17">
        <f>IF(C107&gt;=1,"n/a",D107*B6/(A107-B13))</f>
        <v/>
      </c>
    </row>
    <row r="108">
      <c r="A108" s="12" t="n">
        <v>91</v>
      </c>
      <c r="B108" s="13">
        <f>(B13*B107)/(A108+B13*B107)</f>
        <v/>
      </c>
      <c r="C108" s="14">
        <f>B13/A108</f>
        <v/>
      </c>
      <c r="D108" s="15">
        <f>IF(C108&gt;=1,1,B108/(1-C108*(1-B108)))</f>
        <v/>
      </c>
      <c r="E108" s="16">
        <f>IF(B13=0,1,IF(C108&gt;=1,0,MAX(0,MIN(1,1-D108*EXP(-(A108-B13)*(B9/B6))))))</f>
        <v/>
      </c>
      <c r="F108" s="17">
        <f>IF(C108&gt;=1,"n/a",D108*B6/(A108-B13))</f>
        <v/>
      </c>
    </row>
    <row r="109">
      <c r="A109" s="12" t="n">
        <v>92</v>
      </c>
      <c r="B109" s="13">
        <f>(B13*B108)/(A109+B13*B108)</f>
        <v/>
      </c>
      <c r="C109" s="14">
        <f>B13/A109</f>
        <v/>
      </c>
      <c r="D109" s="15">
        <f>IF(C109&gt;=1,1,B109/(1-C109*(1-B109)))</f>
        <v/>
      </c>
      <c r="E109" s="16">
        <f>IF(B13=0,1,IF(C109&gt;=1,0,MAX(0,MIN(1,1-D109*EXP(-(A109-B13)*(B9/B6))))))</f>
        <v/>
      </c>
      <c r="F109" s="17">
        <f>IF(C109&gt;=1,"n/a",D109*B6/(A109-B13))</f>
        <v/>
      </c>
    </row>
    <row r="110">
      <c r="A110" s="12" t="n">
        <v>93</v>
      </c>
      <c r="B110" s="13">
        <f>(B13*B109)/(A110+B13*B109)</f>
        <v/>
      </c>
      <c r="C110" s="14">
        <f>B13/A110</f>
        <v/>
      </c>
      <c r="D110" s="15">
        <f>IF(C110&gt;=1,1,B110/(1-C110*(1-B110)))</f>
        <v/>
      </c>
      <c r="E110" s="16">
        <f>IF(B13=0,1,IF(C110&gt;=1,0,MAX(0,MIN(1,1-D110*EXP(-(A110-B13)*(B9/B6))))))</f>
        <v/>
      </c>
      <c r="F110" s="17">
        <f>IF(C110&gt;=1,"n/a",D110*B6/(A110-B13))</f>
        <v/>
      </c>
    </row>
    <row r="111">
      <c r="A111" s="12" t="n">
        <v>94</v>
      </c>
      <c r="B111" s="13">
        <f>(B13*B110)/(A111+B13*B110)</f>
        <v/>
      </c>
      <c r="C111" s="14">
        <f>B13/A111</f>
        <v/>
      </c>
      <c r="D111" s="15">
        <f>IF(C111&gt;=1,1,B111/(1-C111*(1-B111)))</f>
        <v/>
      </c>
      <c r="E111" s="16">
        <f>IF(B13=0,1,IF(C111&gt;=1,0,MAX(0,MIN(1,1-D111*EXP(-(A111-B13)*(B9/B6))))))</f>
        <v/>
      </c>
      <c r="F111" s="17">
        <f>IF(C111&gt;=1,"n/a",D111*B6/(A111-B13))</f>
        <v/>
      </c>
    </row>
    <row r="112">
      <c r="A112" s="12" t="n">
        <v>95</v>
      </c>
      <c r="B112" s="13">
        <f>(B13*B111)/(A112+B13*B111)</f>
        <v/>
      </c>
      <c r="C112" s="14">
        <f>B13/A112</f>
        <v/>
      </c>
      <c r="D112" s="15">
        <f>IF(C112&gt;=1,1,B112/(1-C112*(1-B112)))</f>
        <v/>
      </c>
      <c r="E112" s="16">
        <f>IF(B13=0,1,IF(C112&gt;=1,0,MAX(0,MIN(1,1-D112*EXP(-(A112-B13)*(B9/B6))))))</f>
        <v/>
      </c>
      <c r="F112" s="17">
        <f>IF(C112&gt;=1,"n/a",D112*B6/(A112-B13))</f>
        <v/>
      </c>
    </row>
    <row r="113">
      <c r="A113" s="12" t="n">
        <v>96</v>
      </c>
      <c r="B113" s="13">
        <f>(B13*B112)/(A113+B13*B112)</f>
        <v/>
      </c>
      <c r="C113" s="14">
        <f>B13/A113</f>
        <v/>
      </c>
      <c r="D113" s="15">
        <f>IF(C113&gt;=1,1,B113/(1-C113*(1-B113)))</f>
        <v/>
      </c>
      <c r="E113" s="16">
        <f>IF(B13=0,1,IF(C113&gt;=1,0,MAX(0,MIN(1,1-D113*EXP(-(A113-B13)*(B9/B6))))))</f>
        <v/>
      </c>
      <c r="F113" s="17">
        <f>IF(C113&gt;=1,"n/a",D113*B6/(A113-B13))</f>
        <v/>
      </c>
    </row>
    <row r="114">
      <c r="A114" s="12" t="n">
        <v>97</v>
      </c>
      <c r="B114" s="13">
        <f>(B13*B113)/(A114+B13*B113)</f>
        <v/>
      </c>
      <c r="C114" s="14">
        <f>B13/A114</f>
        <v/>
      </c>
      <c r="D114" s="15">
        <f>IF(C114&gt;=1,1,B114/(1-C114*(1-B114)))</f>
        <v/>
      </c>
      <c r="E114" s="16">
        <f>IF(B13=0,1,IF(C114&gt;=1,0,MAX(0,MIN(1,1-D114*EXP(-(A114-B13)*(B9/B6))))))</f>
        <v/>
      </c>
      <c r="F114" s="17">
        <f>IF(C114&gt;=1,"n/a",D114*B6/(A114-B13))</f>
        <v/>
      </c>
    </row>
    <row r="115">
      <c r="A115" s="12" t="n">
        <v>98</v>
      </c>
      <c r="B115" s="13">
        <f>(B13*B114)/(A115+B13*B114)</f>
        <v/>
      </c>
      <c r="C115" s="14">
        <f>B13/A115</f>
        <v/>
      </c>
      <c r="D115" s="15">
        <f>IF(C115&gt;=1,1,B115/(1-C115*(1-B115)))</f>
        <v/>
      </c>
      <c r="E115" s="16">
        <f>IF(B13=0,1,IF(C115&gt;=1,0,MAX(0,MIN(1,1-D115*EXP(-(A115-B13)*(B9/B6))))))</f>
        <v/>
      </c>
      <c r="F115" s="17">
        <f>IF(C115&gt;=1,"n/a",D115*B6/(A115-B13))</f>
        <v/>
      </c>
    </row>
    <row r="116">
      <c r="A116" s="12" t="n">
        <v>99</v>
      </c>
      <c r="B116" s="13">
        <f>(B13*B115)/(A116+B13*B115)</f>
        <v/>
      </c>
      <c r="C116" s="14">
        <f>B13/A116</f>
        <v/>
      </c>
      <c r="D116" s="15">
        <f>IF(C116&gt;=1,1,B116/(1-C116*(1-B116)))</f>
        <v/>
      </c>
      <c r="E116" s="16">
        <f>IF(B13=0,1,IF(C116&gt;=1,0,MAX(0,MIN(1,1-D116*EXP(-(A116-B13)*(B9/B6))))))</f>
        <v/>
      </c>
      <c r="F116" s="17">
        <f>IF(C116&gt;=1,"n/a",D116*B6/(A116-B13))</f>
        <v/>
      </c>
    </row>
    <row r="117">
      <c r="A117" s="12" t="n">
        <v>100</v>
      </c>
      <c r="B117" s="13">
        <f>(B13*B116)/(A117+B13*B116)</f>
        <v/>
      </c>
      <c r="C117" s="14">
        <f>B13/A117</f>
        <v/>
      </c>
      <c r="D117" s="15">
        <f>IF(C117&gt;=1,1,B117/(1-C117*(1-B117)))</f>
        <v/>
      </c>
      <c r="E117" s="16">
        <f>IF(B13=0,1,IF(C117&gt;=1,0,MAX(0,MIN(1,1-D117*EXP(-(A117-B13)*(B9/B6))))))</f>
        <v/>
      </c>
      <c r="F117" s="17">
        <f>IF(C117&gt;=1,"n/a",D117*B6/(A117-B13))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2026-05-26T07:27:25Z</dcterms:created>
  <dcterms:modified xsi:type="dcterms:W3CDTF">2026-05-26T07:27:25Z</dcterms:modified>
</cp:coreProperties>
</file>